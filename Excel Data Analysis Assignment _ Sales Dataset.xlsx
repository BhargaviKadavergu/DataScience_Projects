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70" yWindow="525" windowWidth="19815" windowHeight="7365" activeTab="2"/>
  </bookViews>
  <sheets>
    <sheet name="Sales" sheetId="1" r:id="rId1"/>
    <sheet name="Product" sheetId="2" r:id="rId2"/>
    <sheet name="Pivot Table " sheetId="3" r:id="rId3"/>
  </sheets>
  <calcPr calcId="125725"/>
  <pivotCaches>
    <pivotCache cacheId="4" r:id="rId4"/>
  </pivotCaches>
</workbook>
</file>

<file path=xl/calcChain.xml><?xml version="1.0" encoding="utf-8"?>
<calcChain xmlns="http://schemas.openxmlformats.org/spreadsheetml/2006/main">
  <c r="A37" i="1"/>
  <c r="A28"/>
  <c r="A25"/>
  <c r="A20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K6"/>
  <c r="J6"/>
  <c r="I6"/>
  <c r="H6"/>
  <c r="K5"/>
  <c r="J5"/>
  <c r="I5"/>
  <c r="H5"/>
  <c r="K4"/>
  <c r="J4"/>
  <c r="I4"/>
  <c r="H4"/>
  <c r="K3"/>
  <c r="J3"/>
  <c r="I3"/>
  <c r="H3"/>
  <c r="K2"/>
  <c r="J2"/>
  <c r="A42" s="1"/>
  <c r="I2"/>
  <c r="H2"/>
  <c r="A34" s="1"/>
  <c r="A17" l="1"/>
  <c r="A45"/>
</calcChain>
</file>

<file path=xl/sharedStrings.xml><?xml version="1.0" encoding="utf-8"?>
<sst xmlns="http://schemas.openxmlformats.org/spreadsheetml/2006/main" count="97" uniqueCount="51">
  <si>
    <t>Order ID</t>
  </si>
  <si>
    <t>Date</t>
  </si>
  <si>
    <t>Salesperson</t>
  </si>
  <si>
    <t>Product ID</t>
  </si>
  <si>
    <t>Region</t>
  </si>
  <si>
    <t>Units Sold</t>
  </si>
  <si>
    <t>Payment Mode</t>
  </si>
  <si>
    <t>Sales Amount</t>
  </si>
  <si>
    <t>ProductName</t>
  </si>
  <si>
    <t>Category</t>
  </si>
  <si>
    <t>Unit Price</t>
  </si>
  <si>
    <t>Rahul</t>
  </si>
  <si>
    <t>P101</t>
  </si>
  <si>
    <t>North</t>
  </si>
  <si>
    <t>Card</t>
  </si>
  <si>
    <t>Priya</t>
  </si>
  <si>
    <t>P102</t>
  </si>
  <si>
    <t>South</t>
  </si>
  <si>
    <t>UPI</t>
  </si>
  <si>
    <t>Amit</t>
  </si>
  <si>
    <t>P103</t>
  </si>
  <si>
    <t>West</t>
  </si>
  <si>
    <t>Cash</t>
  </si>
  <si>
    <t>Neha</t>
  </si>
  <si>
    <t>P104</t>
  </si>
  <si>
    <t>East</t>
  </si>
  <si>
    <t>P105</t>
  </si>
  <si>
    <t>SUMIF</t>
  </si>
  <si>
    <t>Total Sales Amount of North</t>
  </si>
  <si>
    <t>Total Units Sold for Product Phone</t>
  </si>
  <si>
    <t>COUNTIF</t>
  </si>
  <si>
    <t>No.of Transacions using UPI</t>
  </si>
  <si>
    <t>No. of Transactions from South</t>
  </si>
  <si>
    <t>SUMIFS</t>
  </si>
  <si>
    <t>Total Sales Amount for Electronics category in North region</t>
  </si>
  <si>
    <t>Total Units Sold for Furniture category in West region</t>
  </si>
  <si>
    <t>COUNTIFS</t>
  </si>
  <si>
    <t>No.of Transactions for Electronics using Card</t>
  </si>
  <si>
    <t>No. of Transactions in North Region for Furniture</t>
  </si>
  <si>
    <t>Product Name</t>
  </si>
  <si>
    <t>Laptop</t>
  </si>
  <si>
    <t>Electronics</t>
  </si>
  <si>
    <t>Phone</t>
  </si>
  <si>
    <t>Chair</t>
  </si>
  <si>
    <t>Furniture</t>
  </si>
  <si>
    <t>Table</t>
  </si>
  <si>
    <t>Desk</t>
  </si>
  <si>
    <t>SUM of Sales Amount</t>
  </si>
  <si>
    <t>Grand Total</t>
  </si>
  <si>
    <t>Which Region generated the highest Sales?</t>
  </si>
  <si>
    <t>Which category generated the highest sales?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</si>
</sst>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\-mmm\-yy"/>
  </numFmts>
  <fonts count="6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1"/>
      <color rgb="FF374151"/>
      <name val="Ui-sans-serif"/>
    </font>
  </fonts>
  <fills count="4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9FAFB"/>
        <bgColor rgb="FFF9FAFB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2" borderId="0" xfId="0" applyFont="1" applyFill="1" applyAlignment="1"/>
    <xf numFmtId="0" fontId="2" fillId="0" borderId="0" xfId="0" applyFont="1" applyAlignment="1"/>
    <xf numFmtId="0" fontId="4" fillId="0" borderId="0" xfId="0" applyFont="1"/>
    <xf numFmtId="0" fontId="5" fillId="3" borderId="0" xfId="0" applyFont="1" applyFill="1" applyAlignment="1"/>
    <xf numFmtId="0" fontId="4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0" xfId="0" applyNumberFormat="1" applyFont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14" fontId="2" fillId="2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LCS" refreshedDate="46107.50640972222" refreshedVersion="3" recordCount="10">
  <cacheSource type="worksheet">
    <worksheetSource ref="A1:K11" sheet="Sales"/>
  </cacheSource>
  <cacheFields count="11">
    <cacheField name="Order ID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4-01-01T00:00:00" maxDate="2024-01-06T00:00:00"/>
    </cacheField>
    <cacheField name="Salesperson" numFmtId="0">
      <sharedItems/>
    </cacheField>
    <cacheField name="Product ID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Units Sold" numFmtId="164">
      <sharedItems containsSemiMixedTypes="0" containsString="0" containsNumber="1" containsInteger="1" minValue="4" maxValue="20"/>
    </cacheField>
    <cacheField name="Payment Mode" numFmtId="0">
      <sharedItems/>
    </cacheField>
    <cacheField name="Sales Amount" numFmtId="164">
      <sharedItems containsSemiMixedTypes="0" containsString="0" containsNumber="1" containsInteger="1" minValue="49000" maxValue="300000"/>
    </cacheField>
    <cacheField name="ProductName" numFmtId="0">
      <sharedItems/>
    </cacheField>
    <cacheField name="Category" numFmtId="0">
      <sharedItems count="2">
        <s v="Electronics"/>
        <s v="Furniture"/>
      </sharedItems>
    </cacheField>
    <cacheField name="Unit Price" numFmtId="0">
      <sharedItems containsSemiMixedTypes="0" containsString="0" containsNumber="1" containsInteger="1" minValue="4000" maxValue="60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d v="2024-01-01T00:00:00"/>
    <s v="Rahul"/>
    <s v="P101"/>
    <x v="0"/>
    <n v="5"/>
    <s v="Card"/>
    <n v="300000"/>
    <s v="Laptop"/>
    <x v="0"/>
    <n v="60000"/>
  </r>
  <r>
    <n v="1002"/>
    <d v="2024-01-01T00:00:00"/>
    <s v="Priya"/>
    <s v="P102"/>
    <x v="1"/>
    <n v="10"/>
    <s v="UPI"/>
    <n v="200000"/>
    <s v="Phone"/>
    <x v="0"/>
    <n v="20000"/>
  </r>
  <r>
    <n v="1003"/>
    <d v="2024-01-02T00:00:00"/>
    <s v="Amit"/>
    <s v="P103"/>
    <x v="2"/>
    <n v="15"/>
    <s v="Cash"/>
    <n v="60000"/>
    <s v="Chair"/>
    <x v="1"/>
    <n v="4000"/>
  </r>
  <r>
    <n v="1004"/>
    <d v="2024-01-02T00:00:00"/>
    <s v="Neha"/>
    <s v="P104"/>
    <x v="3"/>
    <n v="7"/>
    <s v="Card"/>
    <n v="49000"/>
    <s v="Table"/>
    <x v="1"/>
    <n v="7000"/>
  </r>
  <r>
    <n v="1005"/>
    <d v="2024-01-03T00:00:00"/>
    <s v="Rahul"/>
    <s v="P102"/>
    <x v="0"/>
    <n v="8"/>
    <s v="UPI"/>
    <n v="160000"/>
    <s v="Phone"/>
    <x v="0"/>
    <n v="20000"/>
  </r>
  <r>
    <n v="1006"/>
    <d v="2024-01-03T00:00:00"/>
    <s v="Priya"/>
    <s v="P101"/>
    <x v="1"/>
    <n v="4"/>
    <s v="Card"/>
    <n v="240000"/>
    <s v="Laptop"/>
    <x v="0"/>
    <n v="60000"/>
  </r>
  <r>
    <n v="1007"/>
    <d v="2024-01-04T00:00:00"/>
    <s v="Amit"/>
    <s v="P105"/>
    <x v="2"/>
    <n v="6"/>
    <s v="Cash"/>
    <n v="54000"/>
    <s v="Desk"/>
    <x v="1"/>
    <n v="9000"/>
  </r>
  <r>
    <n v="1008"/>
    <d v="2024-01-04T00:00:00"/>
    <s v="Neha"/>
    <s v="P102"/>
    <x v="3"/>
    <n v="12"/>
    <s v="UPI"/>
    <n v="240000"/>
    <s v="Phone"/>
    <x v="0"/>
    <n v="20000"/>
  </r>
  <r>
    <n v="1009"/>
    <d v="2024-01-05T00:00:00"/>
    <s v="Rahul"/>
    <s v="P103"/>
    <x v="0"/>
    <n v="20"/>
    <s v="Cash"/>
    <n v="80000"/>
    <s v="Chair"/>
    <x v="1"/>
    <n v="4000"/>
  </r>
  <r>
    <n v="1010"/>
    <d v="2024-01-05T00:00:00"/>
    <s v="Priya"/>
    <s v="P102"/>
    <x v="1"/>
    <n v="9"/>
    <s v="Card"/>
    <n v="180000"/>
    <s v="Phone"/>
    <x v="0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" cacheId="4" applyNumberFormats="0" applyBorderFormats="0" applyFontFormats="0" applyPatternFormats="0" applyAlignmentFormats="0" applyWidthHeightFormats="0" dataCaption="" updatedVersion="3" compact="0" compactData="0">
  <location ref="A1:D7" firstHeaderRow="1" firstDataRow="2" firstDataCol="1"/>
  <pivotFields count="11">
    <pivotField name="Order ID" compact="0" outline="0" multipleItemSelectionAllowed="1" showAll="0"/>
    <pivotField name="Date" compact="0" numFmtId="165" outline="0" multipleItemSelectionAllowed="1" showAll="0"/>
    <pivotField name="Salesperson" compact="0" outline="0" multipleItemSelectionAllowed="1" showAll="0"/>
    <pivotField name="Product ID" compact="0" outline="0" multipleItemSelectionAllowed="1" showAll="0"/>
    <pivotField name="Region" axis="axisRow" compact="0" outline="0" multipleItemSelectionAllowed="1" showAll="0" sortType="ascending">
      <items count="5">
        <item x="3"/>
        <item x="0"/>
        <item x="1"/>
        <item x="2"/>
        <item t="default"/>
      </items>
    </pivotField>
    <pivotField name="Units Sold" compact="0" numFmtId="164" outline="0" multipleItemSelectionAllowed="1" showAll="0"/>
    <pivotField name="Payment Mode" compact="0" outline="0" multipleItemSelectionAllowed="1" showAll="0"/>
    <pivotField name="Sales Amount" dataField="1" compact="0" numFmtId="164" outline="0" multipleItemSelectionAllowed="1" showAll="0"/>
    <pivotField name="ProductName" compact="0" outline="0" multipleItemSelectionAllowed="1" showAll="0"/>
    <pivotField name="Category" axis="axisCol" compact="0" outline="0" multipleItemSelectionAllowed="1" showAll="0" sortType="ascending">
      <items count="3">
        <item x="0"/>
        <item x="1"/>
        <item t="default"/>
      </items>
    </pivotField>
    <pivotField name="Unit Price"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Sales Amount" fld="7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45"/>
  <sheetViews>
    <sheetView topLeftCell="A22" workbookViewId="0">
      <selection activeCell="A45" sqref="A45"/>
    </sheetView>
  </sheetViews>
  <sheetFormatPr defaultColWidth="12.5703125" defaultRowHeight="15.75" customHeight="1"/>
  <cols>
    <col min="6" max="6" width="18.140625" customWidth="1"/>
    <col min="7" max="7" width="17.42578125" customWidth="1"/>
    <col min="8" max="8" width="15" customWidth="1"/>
    <col min="9" max="9" width="25.42578125" customWidth="1"/>
  </cols>
  <sheetData>
    <row r="1" spans="1:11" ht="12.75">
      <c r="A1" s="1" t="s">
        <v>0</v>
      </c>
      <c r="B1" s="3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>
        <v>1001</v>
      </c>
      <c r="B2" s="33">
        <v>45292</v>
      </c>
      <c r="C2" s="3" t="s">
        <v>11</v>
      </c>
      <c r="D2" s="3" t="s">
        <v>12</v>
      </c>
      <c r="E2" s="3" t="s">
        <v>13</v>
      </c>
      <c r="F2" s="4">
        <v>5</v>
      </c>
      <c r="G2" s="2" t="s">
        <v>14</v>
      </c>
      <c r="H2" s="5">
        <f t="shared" ref="H2:H11" si="0">F2*K2</f>
        <v>300000</v>
      </c>
      <c r="I2" s="6" t="str">
        <f>VLOOKUP(D2,Product!A1:D6,2,0)</f>
        <v>Laptop</v>
      </c>
      <c r="J2" s="6" t="str">
        <f>VLOOKUP(D2,Product!A:D,3,0)</f>
        <v>Electronics</v>
      </c>
      <c r="K2" s="6">
        <f>VLOOKUP(D2,Product!A:D,4,0)</f>
        <v>60000</v>
      </c>
    </row>
    <row r="3" spans="1:11" ht="15">
      <c r="A3" s="2">
        <v>1002</v>
      </c>
      <c r="B3" s="33">
        <v>45292</v>
      </c>
      <c r="C3" s="3" t="s">
        <v>15</v>
      </c>
      <c r="D3" s="3" t="s">
        <v>16</v>
      </c>
      <c r="E3" s="3" t="s">
        <v>17</v>
      </c>
      <c r="F3" s="4">
        <v>10</v>
      </c>
      <c r="G3" s="2" t="s">
        <v>18</v>
      </c>
      <c r="H3" s="5">
        <f t="shared" si="0"/>
        <v>200000</v>
      </c>
      <c r="I3" s="6" t="str">
        <f>VLOOKUP(D3,Product!A2:D7,2,0)</f>
        <v>Phone</v>
      </c>
      <c r="J3" s="6" t="str">
        <f>VLOOKUP(D3,Product!A:D,3,0)</f>
        <v>Electronics</v>
      </c>
      <c r="K3" s="6">
        <f>VLOOKUP(D3,Product!A:D,4,0)</f>
        <v>20000</v>
      </c>
    </row>
    <row r="4" spans="1:11" ht="15">
      <c r="A4" s="2">
        <v>1003</v>
      </c>
      <c r="B4" s="33">
        <v>45293</v>
      </c>
      <c r="C4" s="3" t="s">
        <v>19</v>
      </c>
      <c r="D4" s="3" t="s">
        <v>20</v>
      </c>
      <c r="E4" s="3" t="s">
        <v>21</v>
      </c>
      <c r="F4" s="4">
        <v>15</v>
      </c>
      <c r="G4" s="2" t="s">
        <v>22</v>
      </c>
      <c r="H4" s="5">
        <f t="shared" si="0"/>
        <v>60000</v>
      </c>
      <c r="I4" s="6" t="str">
        <f>VLOOKUP(D4,Product!A3:D8,2,0)</f>
        <v>Chair</v>
      </c>
      <c r="J4" s="6" t="str">
        <f>VLOOKUP(D4,Product!A:D,3,0)</f>
        <v>Furniture</v>
      </c>
      <c r="K4" s="6">
        <f>VLOOKUP(D4,Product!A:D,4,0)</f>
        <v>4000</v>
      </c>
    </row>
    <row r="5" spans="1:11" ht="15">
      <c r="A5" s="2">
        <v>1004</v>
      </c>
      <c r="B5" s="33">
        <v>45293</v>
      </c>
      <c r="C5" s="3" t="s">
        <v>23</v>
      </c>
      <c r="D5" s="3" t="s">
        <v>24</v>
      </c>
      <c r="E5" s="3" t="s">
        <v>25</v>
      </c>
      <c r="F5" s="4">
        <v>7</v>
      </c>
      <c r="G5" s="2" t="s">
        <v>14</v>
      </c>
      <c r="H5" s="5">
        <f t="shared" si="0"/>
        <v>49000</v>
      </c>
      <c r="I5" s="6" t="str">
        <f>VLOOKUP(D5,Product!A4:D9,2,0)</f>
        <v>Table</v>
      </c>
      <c r="J5" s="6" t="str">
        <f>VLOOKUP(D5,Product!A:D,3,0)</f>
        <v>Furniture</v>
      </c>
      <c r="K5" s="6">
        <f>VLOOKUP(D5,Product!A:D,4,0)</f>
        <v>7000</v>
      </c>
    </row>
    <row r="6" spans="1:11" ht="15">
      <c r="A6" s="2">
        <v>1005</v>
      </c>
      <c r="B6" s="33">
        <v>45294</v>
      </c>
      <c r="C6" s="3" t="s">
        <v>11</v>
      </c>
      <c r="D6" s="3" t="s">
        <v>16</v>
      </c>
      <c r="E6" s="3" t="s">
        <v>13</v>
      </c>
      <c r="F6" s="4">
        <v>8</v>
      </c>
      <c r="G6" s="2" t="s">
        <v>18</v>
      </c>
      <c r="H6" s="5">
        <f t="shared" si="0"/>
        <v>160000</v>
      </c>
      <c r="I6" s="6" t="str">
        <f>VLOOKUP(D3,Product!A:D,2,0)</f>
        <v>Phone</v>
      </c>
      <c r="J6" s="6" t="str">
        <f>VLOOKUP(D6,Product!A:D,3,0)</f>
        <v>Electronics</v>
      </c>
      <c r="K6" s="6">
        <f>VLOOKUP(D6,Product!A:D,4,0)</f>
        <v>20000</v>
      </c>
    </row>
    <row r="7" spans="1:11" ht="15">
      <c r="A7" s="2">
        <v>1006</v>
      </c>
      <c r="B7" s="33">
        <v>45294</v>
      </c>
      <c r="C7" s="2" t="s">
        <v>15</v>
      </c>
      <c r="D7" s="2" t="s">
        <v>12</v>
      </c>
      <c r="E7" s="2" t="s">
        <v>17</v>
      </c>
      <c r="F7" s="4">
        <v>4</v>
      </c>
      <c r="G7" s="2" t="s">
        <v>14</v>
      </c>
      <c r="H7" s="5">
        <f t="shared" si="0"/>
        <v>240000</v>
      </c>
      <c r="I7" s="6" t="str">
        <f>VLOOKUP(D7,Product!A:D,2,0)</f>
        <v>Laptop</v>
      </c>
      <c r="J7" s="6" t="str">
        <f>VLOOKUP(D7,Product!A:D,3,0)</f>
        <v>Electronics</v>
      </c>
      <c r="K7" s="6">
        <f>VLOOKUP(D7,Product!A:D,4,0)</f>
        <v>60000</v>
      </c>
    </row>
    <row r="8" spans="1:11" ht="15">
      <c r="A8" s="2">
        <v>1007</v>
      </c>
      <c r="B8" s="33">
        <v>45295</v>
      </c>
      <c r="C8" s="2" t="s">
        <v>19</v>
      </c>
      <c r="D8" s="2" t="s">
        <v>26</v>
      </c>
      <c r="E8" s="2" t="s">
        <v>21</v>
      </c>
      <c r="F8" s="4">
        <v>6</v>
      </c>
      <c r="G8" s="2" t="s">
        <v>22</v>
      </c>
      <c r="H8" s="5">
        <f t="shared" si="0"/>
        <v>54000</v>
      </c>
      <c r="I8" s="6" t="str">
        <f>VLOOKUP(D8,Product!A:D,2,0)</f>
        <v>Desk</v>
      </c>
      <c r="J8" s="6" t="str">
        <f>VLOOKUP(D8,Product!A:D,3,0)</f>
        <v>Furniture</v>
      </c>
      <c r="K8" s="6">
        <f>VLOOKUP(D8,Product!A:D,4,0)</f>
        <v>9000</v>
      </c>
    </row>
    <row r="9" spans="1:11" ht="15">
      <c r="A9" s="2">
        <v>1008</v>
      </c>
      <c r="B9" s="33">
        <v>45295</v>
      </c>
      <c r="C9" s="2" t="s">
        <v>23</v>
      </c>
      <c r="D9" s="2" t="s">
        <v>16</v>
      </c>
      <c r="E9" s="2" t="s">
        <v>25</v>
      </c>
      <c r="F9" s="4">
        <v>12</v>
      </c>
      <c r="G9" s="2" t="s">
        <v>18</v>
      </c>
      <c r="H9" s="5">
        <f t="shared" si="0"/>
        <v>240000</v>
      </c>
      <c r="I9" s="6" t="str">
        <f>VLOOKUP(D9,Product!A:D,2,0)</f>
        <v>Phone</v>
      </c>
      <c r="J9" s="6" t="str">
        <f>VLOOKUP(D9,Product!A:D,3,0)</f>
        <v>Electronics</v>
      </c>
      <c r="K9" s="6">
        <f>VLOOKUP(D9,Product!A:D,4,0)</f>
        <v>20000</v>
      </c>
    </row>
    <row r="10" spans="1:11" ht="15">
      <c r="A10" s="2">
        <v>1009</v>
      </c>
      <c r="B10" s="33">
        <v>45296</v>
      </c>
      <c r="C10" s="2" t="s">
        <v>11</v>
      </c>
      <c r="D10" s="2" t="s">
        <v>20</v>
      </c>
      <c r="E10" s="2" t="s">
        <v>13</v>
      </c>
      <c r="F10" s="4">
        <v>20</v>
      </c>
      <c r="G10" s="2" t="s">
        <v>22</v>
      </c>
      <c r="H10" s="5">
        <f t="shared" si="0"/>
        <v>80000</v>
      </c>
      <c r="I10" s="6" t="str">
        <f>VLOOKUP(D10,Product!A:D,2,0)</f>
        <v>Chair</v>
      </c>
      <c r="J10" s="6" t="str">
        <f>VLOOKUP(D10,Product!A:D,3,0)</f>
        <v>Furniture</v>
      </c>
      <c r="K10" s="6">
        <f>VLOOKUP(D10,Product!A:D,4,0)</f>
        <v>4000</v>
      </c>
    </row>
    <row r="11" spans="1:11" ht="15">
      <c r="A11" s="2">
        <v>1010</v>
      </c>
      <c r="B11" s="33">
        <v>45296</v>
      </c>
      <c r="C11" s="2" t="s">
        <v>15</v>
      </c>
      <c r="D11" s="2" t="s">
        <v>16</v>
      </c>
      <c r="E11" s="2" t="s">
        <v>17</v>
      </c>
      <c r="F11" s="4">
        <v>9</v>
      </c>
      <c r="G11" s="2" t="s">
        <v>14</v>
      </c>
      <c r="H11" s="5">
        <f t="shared" si="0"/>
        <v>180000</v>
      </c>
      <c r="I11" s="6" t="str">
        <f>VLOOKUP(D11,Product!A:D,2,0)</f>
        <v>Phone</v>
      </c>
      <c r="J11" s="6" t="str">
        <f>VLOOKUP(D11,Product!A:D,3,0)</f>
        <v>Electronics</v>
      </c>
      <c r="K11" s="6">
        <f>VLOOKUP(D11,Product!A:D,4,0)</f>
        <v>20000</v>
      </c>
    </row>
    <row r="14" spans="1:11" ht="12.75">
      <c r="A14" s="7" t="s">
        <v>27</v>
      </c>
    </row>
    <row r="16" spans="1:11" ht="12.75">
      <c r="A16" s="8" t="s">
        <v>28</v>
      </c>
    </row>
    <row r="17" spans="1:1" ht="12.75">
      <c r="A17" s="9">
        <f>SUMIF(E2:E11,"North",H2:H11)</f>
        <v>540000</v>
      </c>
    </row>
    <row r="19" spans="1:1" ht="12.75">
      <c r="A19" s="8" t="s">
        <v>29</v>
      </c>
    </row>
    <row r="20" spans="1:1" ht="12.75">
      <c r="A20" s="9">
        <f>SUMIF(D1:D11,"P102",F1:F11)</f>
        <v>39</v>
      </c>
    </row>
    <row r="22" spans="1:1" ht="12.75">
      <c r="A22" s="7" t="s">
        <v>30</v>
      </c>
    </row>
    <row r="24" spans="1:1" ht="12.75">
      <c r="A24" s="8" t="s">
        <v>31</v>
      </c>
    </row>
    <row r="25" spans="1:1" ht="12.75">
      <c r="A25" s="9">
        <f>COUNTIF(G1:G11,"UPI")</f>
        <v>3</v>
      </c>
    </row>
    <row r="27" spans="1:1" ht="12.75">
      <c r="A27" s="8" t="s">
        <v>32</v>
      </c>
    </row>
    <row r="28" spans="1:1" ht="12.75">
      <c r="A28" s="9">
        <f>COUNTIF(E1:E11,"South")</f>
        <v>3</v>
      </c>
    </row>
    <row r="30" spans="1:1" ht="12.75">
      <c r="A30" s="7" t="s">
        <v>33</v>
      </c>
    </row>
    <row r="33" spans="1:1" ht="15">
      <c r="A33" s="10" t="s">
        <v>34</v>
      </c>
    </row>
    <row r="34" spans="1:1" ht="12.75">
      <c r="A34" s="9">
        <f>SUMIFS(H2:H11,E2:E11,"North",D2:D11,"P101")+SUMIFS(H2:H11,E2:E11,"North",D2:D11,"P102")</f>
        <v>460000</v>
      </c>
    </row>
    <row r="36" spans="1:1" ht="15">
      <c r="A36" s="10" t="s">
        <v>35</v>
      </c>
    </row>
    <row r="37" spans="1:1" ht="12.75">
      <c r="A37" s="9">
        <f>SUMIFS(F2:F11,E2:E11,"West",D2:D11,"P103")+SUMIFS(F2:F11,E2:E11,"West",D2:D11,"P105")</f>
        <v>21</v>
      </c>
    </row>
    <row r="39" spans="1:1" ht="15.75" customHeight="1">
      <c r="A39" s="7" t="s">
        <v>36</v>
      </c>
    </row>
    <row r="41" spans="1:1" ht="12.75">
      <c r="A41" s="11" t="s">
        <v>37</v>
      </c>
    </row>
    <row r="42" spans="1:1" ht="12.75">
      <c r="A42" s="9">
        <f>COUNTIFS(J2:J11,"Electronics",G2:G11,"Card")</f>
        <v>3</v>
      </c>
    </row>
    <row r="44" spans="1:1" ht="12.75">
      <c r="A44" s="11" t="s">
        <v>38</v>
      </c>
    </row>
    <row r="45" spans="1:1" ht="12.75">
      <c r="A45" s="9">
        <f>COUNTIFS(E2:E11,"North",J2:J11,"Furniture")</f>
        <v>1</v>
      </c>
    </row>
  </sheetData>
  <conditionalFormatting sqref="A2:H11">
    <cfRule type="cellIs" dxfId="0" priority="1" operator="greaterThan">
      <formula>10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6"/>
  <sheetViews>
    <sheetView workbookViewId="0"/>
  </sheetViews>
  <sheetFormatPr defaultColWidth="12.5703125" defaultRowHeight="15.75" customHeight="1"/>
  <sheetData>
    <row r="1" spans="1:4" ht="15.75" customHeight="1">
      <c r="A1" s="12" t="s">
        <v>3</v>
      </c>
      <c r="B1" s="12" t="s">
        <v>39</v>
      </c>
      <c r="C1" s="12" t="s">
        <v>9</v>
      </c>
      <c r="D1" s="12" t="s">
        <v>10</v>
      </c>
    </row>
    <row r="2" spans="1:4" ht="15.75" customHeight="1">
      <c r="A2" s="13" t="s">
        <v>12</v>
      </c>
      <c r="B2" s="13" t="s">
        <v>40</v>
      </c>
      <c r="C2" s="13" t="s">
        <v>41</v>
      </c>
      <c r="D2" s="14">
        <v>60000</v>
      </c>
    </row>
    <row r="3" spans="1:4" ht="15.75" customHeight="1">
      <c r="A3" s="13" t="s">
        <v>16</v>
      </c>
      <c r="B3" s="13" t="s">
        <v>42</v>
      </c>
      <c r="C3" s="13" t="s">
        <v>41</v>
      </c>
      <c r="D3" s="14">
        <v>20000</v>
      </c>
    </row>
    <row r="4" spans="1:4" ht="15.75" customHeight="1">
      <c r="A4" s="13" t="s">
        <v>20</v>
      </c>
      <c r="B4" s="13" t="s">
        <v>43</v>
      </c>
      <c r="C4" s="13" t="s">
        <v>44</v>
      </c>
      <c r="D4" s="14">
        <v>4000</v>
      </c>
    </row>
    <row r="5" spans="1:4" ht="15.75" customHeight="1">
      <c r="A5" s="13" t="s">
        <v>24</v>
      </c>
      <c r="B5" s="13" t="s">
        <v>45</v>
      </c>
      <c r="C5" s="13" t="s">
        <v>44</v>
      </c>
      <c r="D5" s="14">
        <v>7000</v>
      </c>
    </row>
    <row r="6" spans="1:4" ht="15.75" customHeight="1">
      <c r="A6" s="13" t="s">
        <v>26</v>
      </c>
      <c r="B6" s="13" t="s">
        <v>46</v>
      </c>
      <c r="C6" s="13" t="s">
        <v>44</v>
      </c>
      <c r="D6" s="14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4"/>
  <sheetViews>
    <sheetView showGridLines="0" tabSelected="1" workbookViewId="0"/>
  </sheetViews>
  <sheetFormatPr defaultColWidth="12.5703125" defaultRowHeight="15.75" customHeight="1"/>
  <cols>
    <col min="1" max="1" width="19" customWidth="1"/>
  </cols>
  <sheetData>
    <row r="1" spans="1:4">
      <c r="A1" s="15" t="s">
        <v>47</v>
      </c>
      <c r="B1" s="15" t="s">
        <v>9</v>
      </c>
      <c r="C1" s="16"/>
      <c r="D1" s="17"/>
    </row>
    <row r="2" spans="1:4">
      <c r="A2" s="15" t="s">
        <v>4</v>
      </c>
      <c r="B2" s="18" t="s">
        <v>41</v>
      </c>
      <c r="C2" s="19" t="s">
        <v>44</v>
      </c>
      <c r="D2" s="20" t="s">
        <v>48</v>
      </c>
    </row>
    <row r="3" spans="1:4">
      <c r="A3" s="18" t="s">
        <v>25</v>
      </c>
      <c r="B3" s="21">
        <v>240000</v>
      </c>
      <c r="C3" s="22">
        <v>49000</v>
      </c>
      <c r="D3" s="23">
        <v>289000</v>
      </c>
    </row>
    <row r="4" spans="1:4">
      <c r="A4" s="24" t="s">
        <v>13</v>
      </c>
      <c r="B4" s="25">
        <v>460000</v>
      </c>
      <c r="C4" s="26">
        <v>80000</v>
      </c>
      <c r="D4" s="27">
        <v>540000</v>
      </c>
    </row>
    <row r="5" spans="1:4">
      <c r="A5" s="24" t="s">
        <v>17</v>
      </c>
      <c r="B5" s="25">
        <v>620000</v>
      </c>
      <c r="C5" s="26"/>
      <c r="D5" s="27">
        <v>620000</v>
      </c>
    </row>
    <row r="6" spans="1:4">
      <c r="A6" s="24" t="s">
        <v>21</v>
      </c>
      <c r="B6" s="25"/>
      <c r="C6" s="26">
        <v>114000</v>
      </c>
      <c r="D6" s="27">
        <v>114000</v>
      </c>
    </row>
    <row r="7" spans="1:4">
      <c r="A7" s="28" t="s">
        <v>48</v>
      </c>
      <c r="B7" s="29">
        <v>1320000</v>
      </c>
      <c r="C7" s="30">
        <v>243000</v>
      </c>
      <c r="D7" s="31">
        <v>1563000</v>
      </c>
    </row>
    <row r="10" spans="1:4">
      <c r="A10" s="11" t="s">
        <v>49</v>
      </c>
    </row>
    <row r="11" spans="1:4">
      <c r="A11" s="11" t="s">
        <v>17</v>
      </c>
    </row>
    <row r="13" spans="1:4">
      <c r="A13" s="11" t="s">
        <v>50</v>
      </c>
    </row>
    <row r="14" spans="1:4">
      <c r="A14" s="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Pivot Table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LCS</cp:lastModifiedBy>
  <dcterms:modified xsi:type="dcterms:W3CDTF">2026-03-26T07:50:44Z</dcterms:modified>
</cp:coreProperties>
</file>