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19395" windowHeight="11475" tabRatio="931"/>
  </bookViews>
  <sheets>
    <sheet name="Sales_Data" sheetId="1" r:id="rId1"/>
    <sheet name="Product_Master" sheetId="2" r:id="rId2"/>
    <sheet name="Pivot Total Sales By Region" sheetId="3" r:id="rId3"/>
    <sheet name="Pivot Total Sales By Category" sheetId="4" r:id="rId4"/>
    <sheet name="Pivot Sales Person Vs Sales" sheetId="5" r:id="rId5"/>
  </sheets>
  <calcPr calcId="125725"/>
  <pivotCaches>
    <pivotCache cacheId="13" r:id="rId6"/>
  </pivotCaches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1"/>
  <c r="A24"/>
  <c r="A20"/>
  <c r="A16"/>
  <c r="L3"/>
  <c r="L4"/>
  <c r="L5"/>
  <c r="L6"/>
  <c r="L7"/>
  <c r="L8"/>
  <c r="L9"/>
  <c r="L10"/>
  <c r="L11"/>
  <c r="L2"/>
  <c r="K3"/>
  <c r="M3" s="1"/>
  <c r="K4"/>
  <c r="M4" s="1"/>
  <c r="K5"/>
  <c r="M5" s="1"/>
  <c r="K6"/>
  <c r="M6" s="1"/>
  <c r="K7"/>
  <c r="M7" s="1"/>
  <c r="K8"/>
  <c r="M8" s="1"/>
  <c r="K9"/>
  <c r="M9" s="1"/>
  <c r="K10"/>
  <c r="M10" s="1"/>
  <c r="K11"/>
  <c r="M11" s="1"/>
  <c r="K2"/>
  <c r="M2" s="1"/>
  <c r="J3" l="1"/>
  <c r="J4"/>
  <c r="J5"/>
  <c r="J6"/>
  <c r="J7"/>
  <c r="J8"/>
  <c r="J9"/>
  <c r="J10"/>
  <c r="J11"/>
  <c r="J2"/>
  <c r="I2"/>
  <c r="I3"/>
  <c r="I4"/>
  <c r="I5"/>
  <c r="I6"/>
  <c r="I7"/>
  <c r="I8"/>
  <c r="I9"/>
  <c r="I10"/>
  <c r="I11"/>
</calcChain>
</file>

<file path=xl/sharedStrings.xml><?xml version="1.0" encoding="utf-8"?>
<sst xmlns="http://schemas.openxmlformats.org/spreadsheetml/2006/main" count="94" uniqueCount="45">
  <si>
    <t>Order_ID</t>
  </si>
  <si>
    <t>Date</t>
  </si>
  <si>
    <t>Region</t>
  </si>
  <si>
    <t>Salesperson</t>
  </si>
  <si>
    <t>Product_ID</t>
  </si>
  <si>
    <t>Category</t>
  </si>
  <si>
    <t>Sales_Amount</t>
  </si>
  <si>
    <t>Quantity</t>
  </si>
  <si>
    <t>North</t>
  </si>
  <si>
    <t>Amit</t>
  </si>
  <si>
    <t>P101</t>
  </si>
  <si>
    <t>Electronics</t>
  </si>
  <si>
    <t>South</t>
  </si>
  <si>
    <t>Ravi</t>
  </si>
  <si>
    <t>P102</t>
  </si>
  <si>
    <t>Furniture</t>
  </si>
  <si>
    <t>East</t>
  </si>
  <si>
    <t>Neha</t>
  </si>
  <si>
    <t>P103</t>
  </si>
  <si>
    <t>Clothing</t>
  </si>
  <si>
    <t>West</t>
  </si>
  <si>
    <t>Priya</t>
  </si>
  <si>
    <t>P104</t>
  </si>
  <si>
    <t>P105</t>
  </si>
  <si>
    <t>Product_Name</t>
  </si>
  <si>
    <t>Price</t>
  </si>
  <si>
    <t>Laptop</t>
  </si>
  <si>
    <t>Chair</t>
  </si>
  <si>
    <t>T-Shirt</t>
  </si>
  <si>
    <t>Jeans</t>
  </si>
  <si>
    <t>Table</t>
  </si>
  <si>
    <t>Performance Category</t>
  </si>
  <si>
    <t>Categorize Regions</t>
  </si>
  <si>
    <t>Bonus</t>
  </si>
  <si>
    <t>SUMIF</t>
  </si>
  <si>
    <t>Total Sales for Electronics</t>
  </si>
  <si>
    <t>SUMIFS</t>
  </si>
  <si>
    <t>Total Sales for North Region and Clothing Category</t>
  </si>
  <si>
    <t>COUNTIF</t>
  </si>
  <si>
    <t>No.of Orders in Furniture Category</t>
  </si>
  <si>
    <t>COUNTIFS</t>
  </si>
  <si>
    <t>No.of orders where Region = South AND Sales &gt; 5000</t>
  </si>
  <si>
    <t>Row Labels</t>
  </si>
  <si>
    <t>Grand Total</t>
  </si>
  <si>
    <t>Sum of Sales_Amount</t>
  </si>
</sst>
</file>

<file path=xl/styles.xml><?xml version="1.0" encoding="utf-8"?>
<styleSheet xmlns="http://schemas.openxmlformats.org/spreadsheetml/2006/main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73"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CS" refreshedDate="46107.538169675929" createdVersion="3" refreshedVersion="3" minRefreshableVersion="3" recordCount="10">
  <cacheSource type="worksheet">
    <worksheetSource ref="A1:M11" sheet="Sales_Data"/>
  </cacheSource>
  <cacheFields count="13">
    <cacheField name="Order_ID" numFmtId="0">
      <sharedItems containsSemiMixedTypes="0" containsString="0" containsNumber="1" containsInteger="1" minValue="1001" maxValue="1010"/>
    </cacheField>
    <cacheField name="Date" numFmtId="14">
      <sharedItems containsSemiMixedTypes="0" containsNonDate="0" containsDate="1" containsString="0" minDate="2024-01-01T00:00:00" maxDate="2024-01-09T00:00:00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 count="4">
        <s v="Amit"/>
        <s v="Ravi"/>
        <s v="Neha"/>
        <s v="Priya"/>
      </sharedItems>
    </cacheField>
    <cacheField name="Product_ID" numFmtId="0">
      <sharedItems/>
    </cacheField>
    <cacheField name="Category" numFmtId="0">
      <sharedItems count="3">
        <s v="Electronics"/>
        <s v="Furniture"/>
        <s v="Clothing"/>
      </sharedItems>
    </cacheField>
    <cacheField name="Sales_Amount" numFmtId="0">
      <sharedItems containsSemiMixedTypes="0" containsString="0" containsNumber="1" containsInteger="1" minValue="2000" maxValue="18000"/>
    </cacheField>
    <cacheField name="Quantity" numFmtId="0">
      <sharedItems containsSemiMixedTypes="0" containsString="0" containsNumber="1" containsInteger="1" minValue="1" maxValue="5"/>
    </cacheField>
    <cacheField name="Product_Name" numFmtId="0">
      <sharedItems/>
    </cacheField>
    <cacheField name="Price" numFmtId="0">
      <sharedItems containsSemiMixedTypes="0" containsString="0" containsNumber="1" containsInteger="1" minValue="500" maxValue="7500"/>
    </cacheField>
    <cacheField name="Performance Category" numFmtId="0">
      <sharedItems/>
    </cacheField>
    <cacheField name="Categorize Regions" numFmtId="0">
      <sharedItems/>
    </cacheField>
    <cacheField name="Bonus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001"/>
    <d v="2024-01-01T00:00:00"/>
    <x v="0"/>
    <x v="0"/>
    <s v="P101"/>
    <x v="0"/>
    <n v="15000"/>
    <n v="2"/>
    <s v="Laptop"/>
    <n v="7500"/>
    <s v="Medium"/>
    <s v="Zone 1"/>
    <s v="5%"/>
  </r>
  <r>
    <n v="1002"/>
    <d v="2024-01-02T00:00:00"/>
    <x v="1"/>
    <x v="1"/>
    <s v="P102"/>
    <x v="1"/>
    <n v="8000"/>
    <n v="1"/>
    <s v="Chair"/>
    <n v="7000"/>
    <s v="Medium"/>
    <s v="Zone 2"/>
    <s v="5%"/>
  </r>
  <r>
    <n v="1003"/>
    <d v="2024-01-02T00:00:00"/>
    <x v="2"/>
    <x v="2"/>
    <s v="P103"/>
    <x v="2"/>
    <n v="2000"/>
    <n v="5"/>
    <s v="T-Shirt"/>
    <n v="500"/>
    <s v="Low"/>
    <s v="Zone 3"/>
    <s v="2%"/>
  </r>
  <r>
    <n v="1004"/>
    <d v="2024-01-03T00:00:00"/>
    <x v="3"/>
    <x v="3"/>
    <s v="P101"/>
    <x v="0"/>
    <n v="12000"/>
    <n v="1"/>
    <s v="Laptop"/>
    <n v="7500"/>
    <s v="Medium"/>
    <s v="Zone 4"/>
    <s v="5%"/>
  </r>
  <r>
    <n v="1005"/>
    <d v="2024-01-03T00:00:00"/>
    <x v="0"/>
    <x v="0"/>
    <s v="P104"/>
    <x v="2"/>
    <n v="3000"/>
    <n v="3"/>
    <s v="Jeans"/>
    <n v="1500"/>
    <s v="Low"/>
    <s v="Zone 1"/>
    <s v="2%"/>
  </r>
  <r>
    <n v="1006"/>
    <d v="2024-01-04T00:00:00"/>
    <x v="1"/>
    <x v="1"/>
    <s v="P105"/>
    <x v="1"/>
    <n v="10000"/>
    <n v="2"/>
    <s v="Table"/>
    <n v="5000"/>
    <s v="Medium"/>
    <s v="Zone 2"/>
    <s v="5%"/>
  </r>
  <r>
    <n v="1007"/>
    <d v="2024-01-05T00:00:00"/>
    <x v="2"/>
    <x v="2"/>
    <s v="P101"/>
    <x v="0"/>
    <n v="18000"/>
    <n v="2"/>
    <s v="Laptop"/>
    <n v="7500"/>
    <s v="High"/>
    <s v="Zone 3"/>
    <s v="10%"/>
  </r>
  <r>
    <n v="1008"/>
    <d v="2024-01-06T00:00:00"/>
    <x v="3"/>
    <x v="3"/>
    <s v="P102"/>
    <x v="1"/>
    <n v="7000"/>
    <n v="1"/>
    <s v="Chair"/>
    <n v="7000"/>
    <s v="Medium"/>
    <s v="Zone 4"/>
    <s v="5%"/>
  </r>
  <r>
    <n v="1009"/>
    <d v="2024-01-07T00:00:00"/>
    <x v="0"/>
    <x v="0"/>
    <s v="P103"/>
    <x v="2"/>
    <n v="2500"/>
    <n v="4"/>
    <s v="T-Shirt"/>
    <n v="500"/>
    <s v="Low"/>
    <s v="Zone 1"/>
    <s v="2%"/>
  </r>
  <r>
    <n v="1010"/>
    <d v="2024-01-08T00:00:00"/>
    <x v="1"/>
    <x v="1"/>
    <s v="P104"/>
    <x v="2"/>
    <n v="3500"/>
    <n v="2"/>
    <s v="Jeans"/>
    <n v="1500"/>
    <s v="Low"/>
    <s v="Zone 2"/>
    <s v="2%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8" firstHeaderRow="1" firstDataRow="1" firstDataCol="1"/>
  <pivotFields count="13">
    <pivotField showAll="0"/>
    <pivotField numFmtId="14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6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7" firstHeaderRow="1" firstDataRow="1" firstDataCol="1"/>
  <pivotFields count="13">
    <pivotField showAll="0"/>
    <pivotField numFmtId="14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Amount" fld="6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8" firstHeaderRow="1" firstDataRow="1" firstDataCol="1"/>
  <pivotFields count="13">
    <pivotField showAll="0"/>
    <pivotField numFmtId="14"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tabSelected="1" workbookViewId="0">
      <selection activeCell="G17" sqref="G17"/>
    </sheetView>
  </sheetViews>
  <sheetFormatPr defaultRowHeight="14.25"/>
  <cols>
    <col min="1" max="1" width="7.875" style="3" bestFit="1" customWidth="1"/>
    <col min="2" max="2" width="9.875" style="3" bestFit="1" customWidth="1"/>
    <col min="3" max="3" width="6.25" style="3" bestFit="1" customWidth="1"/>
    <col min="4" max="4" width="10.625" style="3" bestFit="1" customWidth="1"/>
    <col min="5" max="6" width="9.5" style="3" bestFit="1" customWidth="1"/>
    <col min="7" max="7" width="12.125" style="3" bestFit="1" customWidth="1"/>
    <col min="8" max="8" width="7.5" style="3" bestFit="1" customWidth="1"/>
    <col min="9" max="9" width="16" customWidth="1"/>
    <col min="11" max="11" width="22.625" customWidth="1"/>
    <col min="12" max="12" width="19.375" customWidth="1"/>
  </cols>
  <sheetData>
    <row r="1" spans="1:13" ht="1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24</v>
      </c>
      <c r="J1" s="12" t="s">
        <v>25</v>
      </c>
      <c r="K1" s="12" t="s">
        <v>31</v>
      </c>
      <c r="L1" s="12" t="s">
        <v>32</v>
      </c>
      <c r="M1" s="12" t="s">
        <v>33</v>
      </c>
    </row>
    <row r="2" spans="1:13">
      <c r="A2" s="8">
        <v>1001</v>
      </c>
      <c r="B2" s="9">
        <v>45292</v>
      </c>
      <c r="C2" s="8" t="s">
        <v>8</v>
      </c>
      <c r="D2" s="8" t="s">
        <v>9</v>
      </c>
      <c r="E2" s="8" t="s">
        <v>10</v>
      </c>
      <c r="F2" s="8" t="s">
        <v>11</v>
      </c>
      <c r="G2" s="10">
        <v>15000</v>
      </c>
      <c r="H2" s="8">
        <v>2</v>
      </c>
      <c r="I2" s="11" t="str">
        <f>VLOOKUP(E2,Product_Master!A:C,2,0)</f>
        <v>Laptop</v>
      </c>
      <c r="J2" s="11">
        <f>VLOOKUP(E2,Product_Master!A:C,3,0)</f>
        <v>7500</v>
      </c>
      <c r="K2" s="11" t="str">
        <f>IF(G2&gt;15000, "High", IF(G2&gt;=5000,"Medium","Low"))</f>
        <v>Medium</v>
      </c>
      <c r="L2" s="11" t="str">
        <f>IF(C2="North","Zone 1",IF( C2="South","Zone 2",IF(C2="East","Zone 3",IF(C2="West","Zone 4"))))</f>
        <v>Zone 1</v>
      </c>
      <c r="M2" s="11" t="str">
        <f>IF(K2="High","10%",IF(K2="Medium","5%",IF(K2="Low","2%")))</f>
        <v>5%</v>
      </c>
    </row>
    <row r="3" spans="1:13">
      <c r="A3" s="8">
        <v>1002</v>
      </c>
      <c r="B3" s="9">
        <v>45293</v>
      </c>
      <c r="C3" s="8" t="s">
        <v>12</v>
      </c>
      <c r="D3" s="8" t="s">
        <v>13</v>
      </c>
      <c r="E3" s="8" t="s">
        <v>14</v>
      </c>
      <c r="F3" s="8" t="s">
        <v>15</v>
      </c>
      <c r="G3" s="10">
        <v>8000</v>
      </c>
      <c r="H3" s="8">
        <v>1</v>
      </c>
      <c r="I3" s="11" t="str">
        <f>VLOOKUP(E3,Product_Master!A:C,2,0)</f>
        <v>Chair</v>
      </c>
      <c r="J3" s="11">
        <f>VLOOKUP(E3,Product_Master!A:C,3,0)</f>
        <v>7000</v>
      </c>
      <c r="K3" s="11" t="str">
        <f t="shared" ref="K3:K11" si="0">IF(G3&gt;15000, "High", IF(G3&gt;=5000,"Medium","Low"))</f>
        <v>Medium</v>
      </c>
      <c r="L3" s="11" t="str">
        <f t="shared" ref="L3:L11" si="1">IF(C3="North","Zone 1",IF( C3="South","Zone 2",IF(C3="East","Zone 3",IF(C3="West","Zone 4"))))</f>
        <v>Zone 2</v>
      </c>
      <c r="M3" s="11" t="str">
        <f t="shared" ref="M3:M11" si="2">IF(K3="High","10%",IF(K3="Medium","5%",IF(K3="Low","2%")))</f>
        <v>5%</v>
      </c>
    </row>
    <row r="4" spans="1:13">
      <c r="A4" s="8">
        <v>1003</v>
      </c>
      <c r="B4" s="9">
        <v>45293</v>
      </c>
      <c r="C4" s="8" t="s">
        <v>16</v>
      </c>
      <c r="D4" s="8" t="s">
        <v>17</v>
      </c>
      <c r="E4" s="8" t="s">
        <v>18</v>
      </c>
      <c r="F4" s="8" t="s">
        <v>19</v>
      </c>
      <c r="G4" s="10">
        <v>2000</v>
      </c>
      <c r="H4" s="8">
        <v>5</v>
      </c>
      <c r="I4" s="11" t="str">
        <f>VLOOKUP(E4,Product_Master!A:C,2,0)</f>
        <v>T-Shirt</v>
      </c>
      <c r="J4" s="11">
        <f>VLOOKUP(E4,Product_Master!A:C,3,0)</f>
        <v>500</v>
      </c>
      <c r="K4" s="11" t="str">
        <f t="shared" si="0"/>
        <v>Low</v>
      </c>
      <c r="L4" s="11" t="str">
        <f t="shared" si="1"/>
        <v>Zone 3</v>
      </c>
      <c r="M4" s="11" t="str">
        <f t="shared" si="2"/>
        <v>2%</v>
      </c>
    </row>
    <row r="5" spans="1:13">
      <c r="A5" s="8">
        <v>1004</v>
      </c>
      <c r="B5" s="9">
        <v>45294</v>
      </c>
      <c r="C5" s="8" t="s">
        <v>20</v>
      </c>
      <c r="D5" s="8" t="s">
        <v>21</v>
      </c>
      <c r="E5" s="8" t="s">
        <v>10</v>
      </c>
      <c r="F5" s="8" t="s">
        <v>11</v>
      </c>
      <c r="G5" s="10">
        <v>12000</v>
      </c>
      <c r="H5" s="8">
        <v>1</v>
      </c>
      <c r="I5" s="11" t="str">
        <f>VLOOKUP(E5,Product_Master!A:C,2,0)</f>
        <v>Laptop</v>
      </c>
      <c r="J5" s="11">
        <f>VLOOKUP(E5,Product_Master!A:C,3,0)</f>
        <v>7500</v>
      </c>
      <c r="K5" s="11" t="str">
        <f t="shared" si="0"/>
        <v>Medium</v>
      </c>
      <c r="L5" s="11" t="str">
        <f t="shared" si="1"/>
        <v>Zone 4</v>
      </c>
      <c r="M5" s="11" t="str">
        <f t="shared" si="2"/>
        <v>5%</v>
      </c>
    </row>
    <row r="6" spans="1:13">
      <c r="A6" s="8">
        <v>1005</v>
      </c>
      <c r="B6" s="9">
        <v>45294</v>
      </c>
      <c r="C6" s="8" t="s">
        <v>8</v>
      </c>
      <c r="D6" s="8" t="s">
        <v>9</v>
      </c>
      <c r="E6" s="8" t="s">
        <v>22</v>
      </c>
      <c r="F6" s="8" t="s">
        <v>19</v>
      </c>
      <c r="G6" s="10">
        <v>3000</v>
      </c>
      <c r="H6" s="8">
        <v>3</v>
      </c>
      <c r="I6" s="11" t="str">
        <f>VLOOKUP(E6,Product_Master!A:C,2,0)</f>
        <v>Jeans</v>
      </c>
      <c r="J6" s="11">
        <f>VLOOKUP(E6,Product_Master!A:C,3,0)</f>
        <v>1500</v>
      </c>
      <c r="K6" s="11" t="str">
        <f t="shared" si="0"/>
        <v>Low</v>
      </c>
      <c r="L6" s="11" t="str">
        <f t="shared" si="1"/>
        <v>Zone 1</v>
      </c>
      <c r="M6" s="11" t="str">
        <f t="shared" si="2"/>
        <v>2%</v>
      </c>
    </row>
    <row r="7" spans="1:13">
      <c r="A7" s="8">
        <v>1006</v>
      </c>
      <c r="B7" s="9">
        <v>45295</v>
      </c>
      <c r="C7" s="8" t="s">
        <v>12</v>
      </c>
      <c r="D7" s="8" t="s">
        <v>13</v>
      </c>
      <c r="E7" s="8" t="s">
        <v>23</v>
      </c>
      <c r="F7" s="8" t="s">
        <v>15</v>
      </c>
      <c r="G7" s="10">
        <v>10000</v>
      </c>
      <c r="H7" s="8">
        <v>2</v>
      </c>
      <c r="I7" s="11" t="str">
        <f>VLOOKUP(E7,Product_Master!A:C,2,0)</f>
        <v>Table</v>
      </c>
      <c r="J7" s="11">
        <f>VLOOKUP(E7,Product_Master!A:C,3,0)</f>
        <v>5000</v>
      </c>
      <c r="K7" s="11" t="str">
        <f t="shared" si="0"/>
        <v>Medium</v>
      </c>
      <c r="L7" s="11" t="str">
        <f t="shared" si="1"/>
        <v>Zone 2</v>
      </c>
      <c r="M7" s="11" t="str">
        <f t="shared" si="2"/>
        <v>5%</v>
      </c>
    </row>
    <row r="8" spans="1:13">
      <c r="A8" s="8">
        <v>1007</v>
      </c>
      <c r="B8" s="9">
        <v>45296</v>
      </c>
      <c r="C8" s="8" t="s">
        <v>16</v>
      </c>
      <c r="D8" s="8" t="s">
        <v>17</v>
      </c>
      <c r="E8" s="8" t="s">
        <v>10</v>
      </c>
      <c r="F8" s="8" t="s">
        <v>11</v>
      </c>
      <c r="G8" s="10">
        <v>18000</v>
      </c>
      <c r="H8" s="8">
        <v>2</v>
      </c>
      <c r="I8" s="11" t="str">
        <f>VLOOKUP(E8,Product_Master!A:C,2,0)</f>
        <v>Laptop</v>
      </c>
      <c r="J8" s="11">
        <f>VLOOKUP(E8,Product_Master!A:C,3,0)</f>
        <v>7500</v>
      </c>
      <c r="K8" s="11" t="str">
        <f t="shared" si="0"/>
        <v>High</v>
      </c>
      <c r="L8" s="11" t="str">
        <f t="shared" si="1"/>
        <v>Zone 3</v>
      </c>
      <c r="M8" s="11" t="str">
        <f t="shared" si="2"/>
        <v>10%</v>
      </c>
    </row>
    <row r="9" spans="1:13">
      <c r="A9" s="8">
        <v>1008</v>
      </c>
      <c r="B9" s="9">
        <v>45297</v>
      </c>
      <c r="C9" s="8" t="s">
        <v>20</v>
      </c>
      <c r="D9" s="8" t="s">
        <v>21</v>
      </c>
      <c r="E9" s="8" t="s">
        <v>14</v>
      </c>
      <c r="F9" s="8" t="s">
        <v>15</v>
      </c>
      <c r="G9" s="10">
        <v>7000</v>
      </c>
      <c r="H9" s="8">
        <v>1</v>
      </c>
      <c r="I9" s="11" t="str">
        <f>VLOOKUP(E9,Product_Master!A:C,2,0)</f>
        <v>Chair</v>
      </c>
      <c r="J9" s="11">
        <f>VLOOKUP(E9,Product_Master!A:C,3,0)</f>
        <v>7000</v>
      </c>
      <c r="K9" s="11" t="str">
        <f t="shared" si="0"/>
        <v>Medium</v>
      </c>
      <c r="L9" s="11" t="str">
        <f t="shared" si="1"/>
        <v>Zone 4</v>
      </c>
      <c r="M9" s="11" t="str">
        <f t="shared" si="2"/>
        <v>5%</v>
      </c>
    </row>
    <row r="10" spans="1:13">
      <c r="A10" s="8">
        <v>1009</v>
      </c>
      <c r="B10" s="9">
        <v>45298</v>
      </c>
      <c r="C10" s="8" t="s">
        <v>8</v>
      </c>
      <c r="D10" s="8" t="s">
        <v>9</v>
      </c>
      <c r="E10" s="8" t="s">
        <v>18</v>
      </c>
      <c r="F10" s="8" t="s">
        <v>19</v>
      </c>
      <c r="G10" s="10">
        <v>2500</v>
      </c>
      <c r="H10" s="8">
        <v>4</v>
      </c>
      <c r="I10" s="11" t="str">
        <f>VLOOKUP(E10,Product_Master!A:C,2,0)</f>
        <v>T-Shirt</v>
      </c>
      <c r="J10" s="11">
        <f>VLOOKUP(E10,Product_Master!A:C,3,0)</f>
        <v>500</v>
      </c>
      <c r="K10" s="11" t="str">
        <f t="shared" si="0"/>
        <v>Low</v>
      </c>
      <c r="L10" s="11" t="str">
        <f t="shared" si="1"/>
        <v>Zone 1</v>
      </c>
      <c r="M10" s="11" t="str">
        <f t="shared" si="2"/>
        <v>2%</v>
      </c>
    </row>
    <row r="11" spans="1:13">
      <c r="A11" s="8">
        <v>1010</v>
      </c>
      <c r="B11" s="9">
        <v>45299</v>
      </c>
      <c r="C11" s="8" t="s">
        <v>12</v>
      </c>
      <c r="D11" s="8" t="s">
        <v>13</v>
      </c>
      <c r="E11" s="8" t="s">
        <v>22</v>
      </c>
      <c r="F11" s="8" t="s">
        <v>19</v>
      </c>
      <c r="G11" s="10">
        <v>3500</v>
      </c>
      <c r="H11" s="8">
        <v>2</v>
      </c>
      <c r="I11" s="11" t="str">
        <f>VLOOKUP(E11,Product_Master!A:C,2,0)</f>
        <v>Jeans</v>
      </c>
      <c r="J11" s="11">
        <f>VLOOKUP(E11,Product_Master!A:C,3,0)</f>
        <v>1500</v>
      </c>
      <c r="K11" s="11" t="str">
        <f t="shared" si="0"/>
        <v>Low</v>
      </c>
      <c r="L11" s="11" t="str">
        <f t="shared" si="1"/>
        <v>Zone 2</v>
      </c>
      <c r="M11" s="11" t="str">
        <f t="shared" si="2"/>
        <v>2%</v>
      </c>
    </row>
    <row r="14" spans="1:13" ht="15">
      <c r="A14" s="4" t="s">
        <v>34</v>
      </c>
    </row>
    <row r="15" spans="1:13" ht="15">
      <c r="A15" s="4" t="s">
        <v>35</v>
      </c>
      <c r="B15" s="4"/>
      <c r="C15" s="4"/>
    </row>
    <row r="16" spans="1:13">
      <c r="A16" s="3">
        <f>SUMIF(F2:F11,"Electronics",G2:G11)</f>
        <v>45000</v>
      </c>
    </row>
    <row r="18" spans="1:5" ht="15">
      <c r="A18" s="4" t="s">
        <v>36</v>
      </c>
      <c r="B18" s="4"/>
      <c r="C18" s="4"/>
      <c r="D18" s="4"/>
      <c r="E18" s="4"/>
    </row>
    <row r="19" spans="1:5" ht="15">
      <c r="A19" s="4" t="s">
        <v>37</v>
      </c>
      <c r="B19" s="4"/>
      <c r="C19" s="4"/>
      <c r="D19" s="4"/>
      <c r="E19" s="4"/>
    </row>
    <row r="20" spans="1:5">
      <c r="A20" s="3">
        <f>SUMIFS(G2:G11,C2:C11,"North",F2:F11,"Clothing")</f>
        <v>5500</v>
      </c>
    </row>
    <row r="22" spans="1:5" ht="15">
      <c r="A22" s="4" t="s">
        <v>38</v>
      </c>
      <c r="B22" s="4"/>
      <c r="C22" s="4"/>
      <c r="D22" s="4"/>
    </row>
    <row r="23" spans="1:5" ht="15">
      <c r="A23" s="4" t="s">
        <v>39</v>
      </c>
      <c r="B23" s="4"/>
      <c r="C23" s="4"/>
      <c r="D23" s="4"/>
    </row>
    <row r="24" spans="1:5">
      <c r="A24" s="3">
        <f>COUNTIF(F2:F11,"Furniture")</f>
        <v>3</v>
      </c>
    </row>
    <row r="26" spans="1:5" ht="15">
      <c r="A26" s="4" t="s">
        <v>40</v>
      </c>
      <c r="B26" s="4"/>
      <c r="C26" s="4"/>
      <c r="D26" s="4"/>
      <c r="E26" s="4"/>
    </row>
    <row r="27" spans="1:5" ht="15">
      <c r="A27" s="4" t="s">
        <v>41</v>
      </c>
      <c r="B27" s="4"/>
      <c r="C27" s="4"/>
      <c r="D27" s="4"/>
      <c r="E27" s="4"/>
    </row>
    <row r="28" spans="1:5">
      <c r="A28" s="3">
        <f>COUNTIFS(C2:C11,"South",G2:G11, "&gt;5000")</f>
        <v>2</v>
      </c>
    </row>
  </sheetData>
  <conditionalFormatting sqref="G17">
    <cfRule type="expression" dxfId="4" priority="9">
      <formula>"G2&gt;15000"</formula>
    </cfRule>
  </conditionalFormatting>
  <conditionalFormatting sqref="G2:G11">
    <cfRule type="dataBar" priority="1">
      <dataBar>
        <cfvo type="min" val="0"/>
        <cfvo type="max" val="0"/>
        <color theme="8" tint="0.79998168889431442"/>
      </dataBar>
    </cfRule>
    <cfRule type="expression" dxfId="3" priority="2">
      <formula>G2&gt;15000</formula>
    </cfRule>
    <cfRule type="top10" dxfId="2" priority="3" rank="3"/>
    <cfRule type="expression" dxfId="1" priority="4">
      <formula>G2&lt;3000</formula>
    </cfRule>
    <cfRule type="expression" dxfId="0" priority="5">
      <formula>G2&gt;15000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4.25"/>
  <cols>
    <col min="1" max="1" width="9.5" bestFit="1" customWidth="1"/>
    <col min="2" max="2" width="12.5" bestFit="1" customWidth="1"/>
    <col min="3" max="3" width="4.875" bestFit="1" customWidth="1"/>
  </cols>
  <sheetData>
    <row r="1" spans="1:3" ht="15">
      <c r="A1" s="1" t="s">
        <v>4</v>
      </c>
      <c r="B1" s="1" t="s">
        <v>24</v>
      </c>
      <c r="C1" s="1" t="s">
        <v>25</v>
      </c>
    </row>
    <row r="2" spans="1:3">
      <c r="A2" s="2" t="s">
        <v>10</v>
      </c>
      <c r="B2" s="2" t="s">
        <v>26</v>
      </c>
      <c r="C2" s="2">
        <v>7500</v>
      </c>
    </row>
    <row r="3" spans="1:3">
      <c r="A3" s="2" t="s">
        <v>14</v>
      </c>
      <c r="B3" s="2" t="s">
        <v>27</v>
      </c>
      <c r="C3" s="2">
        <v>7000</v>
      </c>
    </row>
    <row r="4" spans="1:3">
      <c r="A4" s="2" t="s">
        <v>18</v>
      </c>
      <c r="B4" s="2" t="s">
        <v>28</v>
      </c>
      <c r="C4" s="2">
        <v>500</v>
      </c>
    </row>
    <row r="5" spans="1:3">
      <c r="A5" s="2" t="s">
        <v>22</v>
      </c>
      <c r="B5" s="2" t="s">
        <v>29</v>
      </c>
      <c r="C5" s="2">
        <v>1500</v>
      </c>
    </row>
    <row r="6" spans="1:3">
      <c r="A6" s="2" t="s">
        <v>23</v>
      </c>
      <c r="B6" s="2" t="s">
        <v>30</v>
      </c>
      <c r="C6" s="2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D19" sqref="D19"/>
    </sheetView>
  </sheetViews>
  <sheetFormatPr defaultRowHeight="14.25"/>
  <cols>
    <col min="1" max="1" width="13.125" bestFit="1" customWidth="1"/>
    <col min="2" max="2" width="20.25" bestFit="1" customWidth="1"/>
  </cols>
  <sheetData>
    <row r="3" spans="1:2">
      <c r="A3" s="5" t="s">
        <v>42</v>
      </c>
      <c r="B3" t="s">
        <v>44</v>
      </c>
    </row>
    <row r="4" spans="1:2">
      <c r="A4" s="6" t="s">
        <v>16</v>
      </c>
      <c r="B4" s="7">
        <v>20000</v>
      </c>
    </row>
    <row r="5" spans="1:2">
      <c r="A5" s="6" t="s">
        <v>8</v>
      </c>
      <c r="B5" s="7">
        <v>20500</v>
      </c>
    </row>
    <row r="6" spans="1:2">
      <c r="A6" s="6" t="s">
        <v>12</v>
      </c>
      <c r="B6" s="7">
        <v>21500</v>
      </c>
    </row>
    <row r="7" spans="1:2">
      <c r="A7" s="6" t="s">
        <v>20</v>
      </c>
      <c r="B7" s="7">
        <v>19000</v>
      </c>
    </row>
    <row r="8" spans="1:2">
      <c r="A8" s="6" t="s">
        <v>43</v>
      </c>
      <c r="B8" s="7">
        <v>81000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C24" sqref="C24"/>
    </sheetView>
  </sheetViews>
  <sheetFormatPr defaultRowHeight="14.25"/>
  <cols>
    <col min="1" max="1" width="13.125" bestFit="1" customWidth="1"/>
    <col min="2" max="2" width="20.25" bestFit="1" customWidth="1"/>
  </cols>
  <sheetData>
    <row r="3" spans="1:2">
      <c r="A3" s="5" t="s">
        <v>42</v>
      </c>
      <c r="B3" t="s">
        <v>44</v>
      </c>
    </row>
    <row r="4" spans="1:2">
      <c r="A4" s="6" t="s">
        <v>19</v>
      </c>
      <c r="B4" s="7">
        <v>11000</v>
      </c>
    </row>
    <row r="5" spans="1:2">
      <c r="A5" s="6" t="s">
        <v>11</v>
      </c>
      <c r="B5" s="7">
        <v>45000</v>
      </c>
    </row>
    <row r="6" spans="1:2">
      <c r="A6" s="6" t="s">
        <v>15</v>
      </c>
      <c r="B6" s="7">
        <v>25000</v>
      </c>
    </row>
    <row r="7" spans="1:2">
      <c r="A7" s="6" t="s">
        <v>43</v>
      </c>
      <c r="B7" s="7">
        <v>81000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B20" sqref="B20"/>
    </sheetView>
  </sheetViews>
  <sheetFormatPr defaultRowHeight="14.25"/>
  <cols>
    <col min="1" max="1" width="13.125" bestFit="1" customWidth="1"/>
    <col min="2" max="2" width="20.25" bestFit="1" customWidth="1"/>
  </cols>
  <sheetData>
    <row r="3" spans="1:2">
      <c r="A3" s="5" t="s">
        <v>42</v>
      </c>
      <c r="B3" t="s">
        <v>44</v>
      </c>
    </row>
    <row r="4" spans="1:2">
      <c r="A4" s="6" t="s">
        <v>9</v>
      </c>
      <c r="B4" s="7">
        <v>20500</v>
      </c>
    </row>
    <row r="5" spans="1:2">
      <c r="A5" s="6" t="s">
        <v>17</v>
      </c>
      <c r="B5" s="7">
        <v>20000</v>
      </c>
    </row>
    <row r="6" spans="1:2">
      <c r="A6" s="6" t="s">
        <v>21</v>
      </c>
      <c r="B6" s="7">
        <v>19000</v>
      </c>
    </row>
    <row r="7" spans="1:2">
      <c r="A7" s="6" t="s">
        <v>13</v>
      </c>
      <c r="B7" s="7">
        <v>21500</v>
      </c>
    </row>
    <row r="8" spans="1:2">
      <c r="A8" s="6" t="s">
        <v>43</v>
      </c>
      <c r="B8" s="7">
        <v>81000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Product_Master</vt:lpstr>
      <vt:lpstr>Pivot Total Sales By Region</vt:lpstr>
      <vt:lpstr>Pivot Total Sales By Category</vt:lpstr>
      <vt:lpstr>Pivot Sales Person Vs Sales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Vishav Jyoti</dc:creator>
  <cp:lastModifiedBy>LCS</cp:lastModifiedBy>
  <dcterms:created xsi:type="dcterms:W3CDTF">2026-03-19T09:43:58Z</dcterms:created>
  <dcterms:modified xsi:type="dcterms:W3CDTF">2026-03-26T07:50:39Z</dcterms:modified>
</cp:coreProperties>
</file>